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perty Tracker" sheetId="1" state="visible" r:id="rId3"/>
    <sheet name="Due Diligence" sheetId="2" state="visible" r:id="rId4"/>
    <sheet name="County Contac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<sst xmlns="http://schemas.openxmlformats.org/spreadsheetml/2006/main" count="140" uniqueCount="110">
  <si>
    <t xml:space="preserve">TAX LIEN PRO — Property Research Tracker</t>
  </si>
  <si>
    <t xml:space="preserve">Oklahoma County Tax Resale — June 8, 2026</t>
  </si>
  <si>
    <t xml:space="preserve">Parcel ID</t>
  </si>
  <si>
    <t xml:space="preserve">Address</t>
  </si>
  <si>
    <t xml:space="preserve">County</t>
  </si>
  <si>
    <t xml:space="preserve">Acreage</t>
  </si>
  <si>
    <t xml:space="preserve">Zoning</t>
  </si>
  <si>
    <t xml:space="preserve">Assessed Value</t>
  </si>
  <si>
    <t xml:space="preserve">Back Taxes</t>
  </si>
  <si>
    <t xml:space="preserve">Fees/Costs</t>
  </si>
  <si>
    <t xml:space="preserve">2/3 Assessed</t>
  </si>
  <si>
    <t xml:space="preserve">Min Bid (Lesser)</t>
  </si>
  <si>
    <t xml:space="preserve">Est. Market Value</t>
  </si>
  <si>
    <t xml:space="preserve">Potential Profit</t>
  </si>
  <si>
    <t xml:space="preserve">ROI %</t>
  </si>
  <si>
    <t xml:space="preserve">Risk</t>
  </si>
  <si>
    <t xml:space="preserve">Status</t>
  </si>
  <si>
    <t xml:space="preserve">Known Liens</t>
  </si>
  <si>
    <t xml:space="preserve">Drive-By Notes</t>
  </si>
  <si>
    <t xml:space="preserve">12345-00-01</t>
  </si>
  <si>
    <t xml:space="preserve">1234 E 15th St</t>
  </si>
  <si>
    <t xml:space="preserve">Tulsa County</t>
  </si>
  <si>
    <t xml:space="preserve">RS-3</t>
  </si>
  <si>
    <t xml:space="preserve">Medium</t>
  </si>
  <si>
    <t xml:space="preserve">Researching</t>
  </si>
  <si>
    <t xml:space="preserve">None found</t>
  </si>
  <si>
    <t xml:space="preserve">Vacant lot, needs cleanup</t>
  </si>
  <si>
    <t xml:space="preserve">SUMMARY</t>
  </si>
  <si>
    <t xml:space="preserve">Total Properties:</t>
  </si>
  <si>
    <t xml:space="preserve">Total Min Bid:</t>
  </si>
  <si>
    <t xml:space="preserve">Total Est. Value:</t>
  </si>
  <si>
    <t xml:space="preserve">Total Potential Profit:</t>
  </si>
  <si>
    <t xml:space="preserve">Average ROI:</t>
  </si>
  <si>
    <t xml:space="preserve">Property Due Diligence Checklist</t>
  </si>
  <si>
    <t xml:space="preserve">✓</t>
  </si>
  <si>
    <t xml:space="preserve">Check Item</t>
  </si>
  <si>
    <t xml:space="preserve">Source</t>
  </si>
  <si>
    <t xml:space="preserve">Notes</t>
  </si>
  <si>
    <t xml:space="preserve">TITLE &amp; LIENS</t>
  </si>
  <si>
    <t xml:space="preserve">☐</t>
  </si>
  <si>
    <t xml:space="preserve">Search county clerk records for liens</t>
  </si>
  <si>
    <t xml:space="preserve">County Clerk</t>
  </si>
  <si>
    <t xml:space="preserve">Check for IRS/federal tax liens</t>
  </si>
  <si>
    <t xml:space="preserve">County Clerk / PACER</t>
  </si>
  <si>
    <t xml:space="preserve">Federal liens may survive resale</t>
  </si>
  <si>
    <t xml:space="preserve">Verify no FDIC liens</t>
  </si>
  <si>
    <t xml:space="preserve">County Records</t>
  </si>
  <si>
    <t xml:space="preserve">Check for municipal liens (mowing, cleanup)</t>
  </si>
  <si>
    <t xml:space="preserve">City Code Enforcement</t>
  </si>
  <si>
    <t xml:space="preserve">Verify no HOA liens</t>
  </si>
  <si>
    <t xml:space="preserve">HOA if applicable</t>
  </si>
  <si>
    <t xml:space="preserve">Check special assessments addendum</t>
  </si>
  <si>
    <t xml:space="preserve">Treasurer's Office</t>
  </si>
  <si>
    <t xml:space="preserve">PROPERTY CONDITION</t>
  </si>
  <si>
    <t xml:space="preserve">Drive-by inspection</t>
  </si>
  <si>
    <t xml:space="preserve">In person</t>
  </si>
  <si>
    <t xml:space="preserve">Check for structures / condemned status</t>
  </si>
  <si>
    <t xml:space="preserve">City Building Dept</t>
  </si>
  <si>
    <t xml:space="preserve">Verify not in flood zone</t>
  </si>
  <si>
    <t xml:space="preserve">FEMA Flood Map</t>
  </si>
  <si>
    <t xml:space="preserve">Check environmental concerns</t>
  </si>
  <si>
    <t xml:space="preserve">DEQ / EPA records</t>
  </si>
  <si>
    <t xml:space="preserve">Verify legal access (not landlocked)</t>
  </si>
  <si>
    <t xml:space="preserve">Assessor map / LOCCAT</t>
  </si>
  <si>
    <t xml:space="preserve">Check utility availability</t>
  </si>
  <si>
    <t xml:space="preserve">City utilities</t>
  </si>
  <si>
    <t xml:space="preserve">VALUE ASSESSMENT</t>
  </si>
  <si>
    <t xml:space="preserve">Pull county assessed value</t>
  </si>
  <si>
    <t xml:space="preserve">County Assessor</t>
  </si>
  <si>
    <t xml:space="preserve">Run comparable sales analysis</t>
  </si>
  <si>
    <t xml:space="preserve">Zillow / Realtor.com</t>
  </si>
  <si>
    <t xml:space="preserve">Check zoning restrictions</t>
  </si>
  <si>
    <t xml:space="preserve">City Planning / Zoning</t>
  </si>
  <si>
    <t xml:space="preserve">Assess neighborhood trend</t>
  </si>
  <si>
    <t xml:space="preserve">Drive-by + data</t>
  </si>
  <si>
    <t xml:space="preserve">Estimate rehab/cleanup costs</t>
  </si>
  <si>
    <t xml:space="preserve">Calculate all-in cost vs. market value</t>
  </si>
  <si>
    <t xml:space="preserve">Spreadsheet</t>
  </si>
  <si>
    <t xml:space="preserve">AUCTION PREP</t>
  </si>
  <si>
    <t xml:space="preserve">Set maximum bid amount</t>
  </si>
  <si>
    <t xml:space="preserve">Your analysis</t>
  </si>
  <si>
    <t xml:space="preserve">Never exceed this at auction</t>
  </si>
  <si>
    <t xml:space="preserve">Prepare funds (cash/cashier's check)</t>
  </si>
  <si>
    <t xml:space="preserve">Bank</t>
  </si>
  <si>
    <t xml:space="preserve">Review unadvertised taxes addendum</t>
  </si>
  <si>
    <t xml:space="preserve">Day of or before auction</t>
  </si>
  <si>
    <t xml:space="preserve">Oklahoma County Tax Sale Contacts</t>
  </si>
  <si>
    <t xml:space="preserve">Phone</t>
  </si>
  <si>
    <t xml:space="preserve">Website</t>
  </si>
  <si>
    <t xml:space="preserve">Auction Date</t>
  </si>
  <si>
    <t xml:space="preserve">918-596-5071</t>
  </si>
  <si>
    <t xml:space="preserve">218 W. 6th St., 8th Floor, Tulsa OK</t>
  </si>
  <si>
    <t xml:space="preserve">www2.tulsacounty.org/treasurer</t>
  </si>
  <si>
    <t xml:space="preserve">June 8, 2026</t>
  </si>
  <si>
    <t xml:space="preserve">Oklahoma County</t>
  </si>
  <si>
    <t xml:space="preserve">405-713-1300</t>
  </si>
  <si>
    <t xml:space="preserve">320 Robert S. Kerr Ave, OKC OK</t>
  </si>
  <si>
    <t xml:space="preserve">docs.oklahomacounty.org/treasurer</t>
  </si>
  <si>
    <t xml:space="preserve">Rogers County</t>
  </si>
  <si>
    <t xml:space="preserve">918-923-4960</t>
  </si>
  <si>
    <t xml:space="preserve">219 S. Missouri, Claremore OK</t>
  </si>
  <si>
    <t xml:space="preserve">Wagoner County</t>
  </si>
  <si>
    <t xml:space="preserve">918-485-2149</t>
  </si>
  <si>
    <t xml:space="preserve">307 E. Cherokee St, Wagoner OK</t>
  </si>
  <si>
    <t xml:space="preserve">Creek County</t>
  </si>
  <si>
    <t xml:space="preserve">918-224-4509</t>
  </si>
  <si>
    <t xml:space="preserve">222 E. Dewey, Sapulpa OK</t>
  </si>
  <si>
    <t xml:space="preserve">Okmulgee County</t>
  </si>
  <si>
    <t xml:space="preserve">918-756-3848</t>
  </si>
  <si>
    <t xml:space="preserve">314 W. 7th St, Okmulgee OK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</si>
</sst>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%"/>
    <numFmt numFmtId="167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E6A919"/>
      <name val="Arial"/>
      <family val="0"/>
      <charset val="1"/>
    </font>
    <font>
      <sz val="10"/>
      <color rgb="FF99999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C9D1D9"/>
      <name val="Arial"/>
      <family val="0"/>
      <charset val="1"/>
    </font>
    <font>
      <b val="true"/>
      <sz val="11"/>
      <color rgb="FFE6A919"/>
      <name val="Arial"/>
      <family val="0"/>
      <charset val="1"/>
    </font>
    <font>
      <b val="true"/>
      <sz val="10"/>
      <color rgb="FFC9D1D9"/>
      <name val="Arial"/>
      <family val="0"/>
      <charset val="1"/>
    </font>
    <font>
      <i val="true"/>
      <sz val="10"/>
      <color rgb="FF99999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919"/>
      <rgbColor rgb="FFFF6600"/>
      <rgbColor rgb="FF666699"/>
      <rgbColor rgb="FF999999"/>
      <rgbColor rgb="FF003366"/>
      <rgbColor rgb="FF339966"/>
      <rgbColor rgb="FF003300"/>
      <rgbColor rgb="FF1A1A2E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8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6" min="5" style="1" width="14"/>
    <col collapsed="false" customWidth="true" hidden="false" outlineLevel="0" max="8" min="7" style="1" width="12"/>
    <col collapsed="false" customWidth="true" hidden="false" outlineLevel="0" max="10" min="9" style="1" width="14"/>
    <col collapsed="false" customWidth="true" hidden="false" outlineLevel="0" max="11" min="11" style="1" width="16"/>
    <col collapsed="false" customWidth="true" hidden="false" outlineLevel="0" max="12" min="12" style="1" width="14"/>
    <col collapsed="false" customWidth="true" hidden="false" outlineLevel="0" max="14" min="13" style="1" width="10"/>
    <col collapsed="false" customWidth="true" hidden="false" outlineLevel="0" max="15" min="15" style="1" width="14"/>
    <col collapsed="false" customWidth="true" hidden="false" outlineLevel="0" max="16" min="16" style="1" width="20"/>
    <col collapsed="false" customWidth="true" hidden="false" outlineLevel="0" max="17" min="17" style="1" width="3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34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</row>
    <row r="5" customFormat="false" ht="15" hidden="false" customHeight="true" outlineLevel="0" collapsed="false">
      <c r="A5" s="5" t="s">
        <v>19</v>
      </c>
      <c r="B5" s="5" t="s">
        <v>20</v>
      </c>
      <c r="C5" s="5" t="s">
        <v>21</v>
      </c>
      <c r="D5" s="5" t="n">
        <v>0.15</v>
      </c>
      <c r="E5" s="5" t="s">
        <v>22</v>
      </c>
      <c r="F5" s="6" t="n">
        <v>15000</v>
      </c>
      <c r="G5" s="6" t="n">
        <v>2100</v>
      </c>
      <c r="H5" s="6" t="n">
        <v>350</v>
      </c>
      <c r="I5" s="6" t="n">
        <f aca="false">IF(F5="","",F5*2/3)</f>
        <v>10000</v>
      </c>
      <c r="J5" s="6" t="n">
        <f aca="false">IF(F5="","",MIN(I5,G5+H5))</f>
        <v>2450</v>
      </c>
      <c r="K5" s="6" t="n">
        <v>22000</v>
      </c>
      <c r="L5" s="6" t="n">
        <f aca="false">IF(OR(K5="",J5=""),"",K5-J5)</f>
        <v>19550</v>
      </c>
      <c r="M5" s="7" t="n">
        <f aca="false">IF(OR(J5=0,J5="",K5=""),"",L5/J5)</f>
        <v>7.97959183673469</v>
      </c>
      <c r="N5" s="5" t="s">
        <v>23</v>
      </c>
      <c r="O5" s="5" t="s">
        <v>24</v>
      </c>
      <c r="P5" s="5" t="s">
        <v>25</v>
      </c>
      <c r="Q5" s="5" t="s">
        <v>26</v>
      </c>
    </row>
    <row r="6" customFormat="false" ht="15" hidden="false" customHeight="true" outlineLevel="0" collapsed="false">
      <c r="A6" s="5"/>
      <c r="B6" s="5"/>
      <c r="C6" s="5"/>
      <c r="D6" s="5"/>
      <c r="E6" s="5"/>
      <c r="F6" s="6"/>
      <c r="G6" s="6"/>
      <c r="H6" s="6"/>
      <c r="I6" s="6" t="str">
        <f aca="false">IF(F6="","",F6*2/3)</f>
        <v/>
      </c>
      <c r="J6" s="6" t="str">
        <f aca="false">IF(F6="","",MIN(I6,G6+H6))</f>
        <v/>
      </c>
      <c r="K6" s="6"/>
      <c r="L6" s="6" t="str">
        <f aca="false">IF(OR(K6="",J6=""),"",K6-J6)</f>
        <v/>
      </c>
      <c r="M6" s="7" t="str">
        <f aca="false">IF(OR(J6=0,J6="",K6=""),"",L6/J6)</f>
        <v/>
      </c>
      <c r="N6" s="5"/>
      <c r="O6" s="5"/>
      <c r="P6" s="5"/>
      <c r="Q6" s="5"/>
    </row>
    <row r="7" customFormat="false" ht="15" hidden="false" customHeight="true" outlineLevel="0" collapsed="false">
      <c r="A7" s="5"/>
      <c r="B7" s="5"/>
      <c r="C7" s="5"/>
      <c r="D7" s="5"/>
      <c r="E7" s="5"/>
      <c r="F7" s="6"/>
      <c r="G7" s="6"/>
      <c r="H7" s="6"/>
      <c r="I7" s="6" t="str">
        <f aca="false">IF(F7="","",F7*2/3)</f>
        <v/>
      </c>
      <c r="J7" s="6" t="str">
        <f aca="false">IF(F7="","",MIN(I7,G7+H7))</f>
        <v/>
      </c>
      <c r="K7" s="6"/>
      <c r="L7" s="6" t="str">
        <f aca="false">IF(OR(K7="",J7=""),"",K7-J7)</f>
        <v/>
      </c>
      <c r="M7" s="7" t="str">
        <f aca="false">IF(OR(J7=0,J7="",K7=""),"",L7/J7)</f>
        <v/>
      </c>
      <c r="N7" s="5"/>
      <c r="O7" s="5"/>
      <c r="P7" s="5"/>
      <c r="Q7" s="5"/>
    </row>
    <row r="8" customFormat="false" ht="15" hidden="false" customHeight="true" outlineLevel="0" collapsed="false">
      <c r="A8" s="5"/>
      <c r="B8" s="5"/>
      <c r="C8" s="5"/>
      <c r="D8" s="5"/>
      <c r="E8" s="5"/>
      <c r="F8" s="6"/>
      <c r="G8" s="6"/>
      <c r="H8" s="6"/>
      <c r="I8" s="6" t="str">
        <f aca="false">IF(F8="","",F8*2/3)</f>
        <v/>
      </c>
      <c r="J8" s="6" t="str">
        <f aca="false">IF(F8="","",MIN(I8,G8+H8))</f>
        <v/>
      </c>
      <c r="K8" s="6"/>
      <c r="L8" s="6" t="str">
        <f aca="false">IF(OR(K8="",J8=""),"",K8-J8)</f>
        <v/>
      </c>
      <c r="M8" s="7" t="str">
        <f aca="false">IF(OR(J8=0,J8="",K8=""),"",L8/J8)</f>
        <v/>
      </c>
      <c r="N8" s="5"/>
      <c r="O8" s="5"/>
      <c r="P8" s="5"/>
      <c r="Q8" s="5"/>
    </row>
    <row r="9" customFormat="false" ht="15" hidden="false" customHeight="true" outlineLevel="0" collapsed="false">
      <c r="A9" s="5"/>
      <c r="B9" s="5"/>
      <c r="C9" s="5"/>
      <c r="D9" s="5"/>
      <c r="E9" s="5"/>
      <c r="F9" s="6"/>
      <c r="G9" s="6"/>
      <c r="H9" s="6"/>
      <c r="I9" s="6" t="str">
        <f aca="false">IF(F9="","",F9*2/3)</f>
        <v/>
      </c>
      <c r="J9" s="6" t="str">
        <f aca="false">IF(F9="","",MIN(I9,G9+H9))</f>
        <v/>
      </c>
      <c r="K9" s="6"/>
      <c r="L9" s="6" t="str">
        <f aca="false">IF(OR(K9="",J9=""),"",K9-J9)</f>
        <v/>
      </c>
      <c r="M9" s="7" t="str">
        <f aca="false">IF(OR(J9=0,J9="",K9=""),"",L9/J9)</f>
        <v/>
      </c>
      <c r="N9" s="5"/>
      <c r="O9" s="5"/>
      <c r="P9" s="5"/>
      <c r="Q9" s="5"/>
    </row>
    <row r="10" customFormat="false" ht="15" hidden="false" customHeight="true" outlineLevel="0" collapsed="false">
      <c r="A10" s="5"/>
      <c r="B10" s="5"/>
      <c r="C10" s="5"/>
      <c r="D10" s="5"/>
      <c r="E10" s="5"/>
      <c r="F10" s="6"/>
      <c r="G10" s="6"/>
      <c r="H10" s="6"/>
      <c r="I10" s="6" t="str">
        <f aca="false">IF(F10="","",F10*2/3)</f>
        <v/>
      </c>
      <c r="J10" s="6" t="str">
        <f aca="false">IF(F10="","",MIN(I10,G10+H10))</f>
        <v/>
      </c>
      <c r="K10" s="6"/>
      <c r="L10" s="6" t="str">
        <f aca="false">IF(OR(K10="",J10=""),"",K10-J10)</f>
        <v/>
      </c>
      <c r="M10" s="7" t="str">
        <f aca="false">IF(OR(J10=0,J10="",K10=""),"",L10/J10)</f>
        <v/>
      </c>
      <c r="N10" s="5"/>
      <c r="O10" s="5"/>
      <c r="P10" s="5"/>
      <c r="Q10" s="5"/>
    </row>
    <row r="11" customFormat="false" ht="15" hidden="false" customHeight="true" outlineLevel="0" collapsed="false">
      <c r="A11" s="5"/>
      <c r="B11" s="5"/>
      <c r="C11" s="5"/>
      <c r="D11" s="5"/>
      <c r="E11" s="5"/>
      <c r="F11" s="6"/>
      <c r="G11" s="6"/>
      <c r="H11" s="6"/>
      <c r="I11" s="6" t="str">
        <f aca="false">IF(F11="","",F11*2/3)</f>
        <v/>
      </c>
      <c r="J11" s="6" t="str">
        <f aca="false">IF(F11="","",MIN(I11,G11+H11))</f>
        <v/>
      </c>
      <c r="K11" s="6"/>
      <c r="L11" s="6" t="str">
        <f aca="false">IF(OR(K11="",J11=""),"",K11-J11)</f>
        <v/>
      </c>
      <c r="M11" s="7" t="str">
        <f aca="false">IF(OR(J11=0,J11="",K11=""),"",L11/J11)</f>
        <v/>
      </c>
      <c r="N11" s="5"/>
      <c r="O11" s="5"/>
      <c r="P11" s="5"/>
      <c r="Q11" s="5"/>
    </row>
    <row r="12" customFormat="false" ht="15" hidden="false" customHeight="true" outlineLevel="0" collapsed="false">
      <c r="A12" s="5"/>
      <c r="B12" s="5"/>
      <c r="C12" s="5"/>
      <c r="D12" s="5"/>
      <c r="E12" s="5"/>
      <c r="F12" s="6"/>
      <c r="G12" s="6"/>
      <c r="H12" s="6"/>
      <c r="I12" s="6" t="str">
        <f aca="false">IF(F12="","",F12*2/3)</f>
        <v/>
      </c>
      <c r="J12" s="6" t="str">
        <f aca="false">IF(F12="","",MIN(I12,G12+H12))</f>
        <v/>
      </c>
      <c r="K12" s="6"/>
      <c r="L12" s="6" t="str">
        <f aca="false">IF(OR(K12="",J12=""),"",K12-J12)</f>
        <v/>
      </c>
      <c r="M12" s="7" t="str">
        <f aca="false">IF(OR(J12=0,J12="",K12=""),"",L12/J12)</f>
        <v/>
      </c>
      <c r="N12" s="5"/>
      <c r="O12" s="5"/>
      <c r="P12" s="5"/>
      <c r="Q12" s="5"/>
    </row>
    <row r="13" customFormat="false" ht="15" hidden="false" customHeight="true" outlineLevel="0" collapsed="false">
      <c r="A13" s="5"/>
      <c r="B13" s="5"/>
      <c r="C13" s="5"/>
      <c r="D13" s="5"/>
      <c r="E13" s="5"/>
      <c r="F13" s="6"/>
      <c r="G13" s="6"/>
      <c r="H13" s="6"/>
      <c r="I13" s="6" t="str">
        <f aca="false">IF(F13="","",F13*2/3)</f>
        <v/>
      </c>
      <c r="J13" s="6" t="str">
        <f aca="false">IF(F13="","",MIN(I13,G13+H13))</f>
        <v/>
      </c>
      <c r="K13" s="6"/>
      <c r="L13" s="6" t="str">
        <f aca="false">IF(OR(K13="",J13=""),"",K13-J13)</f>
        <v/>
      </c>
      <c r="M13" s="7" t="str">
        <f aca="false">IF(OR(J13=0,J13="",K13=""),"",L13/J13)</f>
        <v/>
      </c>
      <c r="N13" s="5"/>
      <c r="O13" s="5"/>
      <c r="P13" s="5"/>
      <c r="Q13" s="5"/>
    </row>
    <row r="14" customFormat="false" ht="15" hidden="false" customHeight="true" outlineLevel="0" collapsed="false">
      <c r="A14" s="5"/>
      <c r="B14" s="5"/>
      <c r="C14" s="5"/>
      <c r="D14" s="5"/>
      <c r="E14" s="5"/>
      <c r="F14" s="6"/>
      <c r="G14" s="6"/>
      <c r="H14" s="6"/>
      <c r="I14" s="6" t="str">
        <f aca="false">IF(F14="","",F14*2/3)</f>
        <v/>
      </c>
      <c r="J14" s="6" t="str">
        <f aca="false">IF(F14="","",MIN(I14,G14+H14))</f>
        <v/>
      </c>
      <c r="K14" s="6"/>
      <c r="L14" s="6" t="str">
        <f aca="false">IF(OR(K14="",J14=""),"",K14-J14)</f>
        <v/>
      </c>
      <c r="M14" s="7" t="str">
        <f aca="false">IF(OR(J14=0,J14="",K14=""),"",L14/J14)</f>
        <v/>
      </c>
      <c r="N14" s="5"/>
      <c r="O14" s="5"/>
      <c r="P14" s="5"/>
      <c r="Q14" s="5"/>
    </row>
    <row r="15" customFormat="false" ht="15" hidden="false" customHeight="true" outlineLevel="0" collapsed="false">
      <c r="A15" s="5"/>
      <c r="B15" s="5"/>
      <c r="C15" s="5"/>
      <c r="D15" s="5"/>
      <c r="E15" s="5"/>
      <c r="F15" s="6"/>
      <c r="G15" s="6"/>
      <c r="H15" s="6"/>
      <c r="I15" s="6" t="str">
        <f aca="false">IF(F15="","",F15*2/3)</f>
        <v/>
      </c>
      <c r="J15" s="6" t="str">
        <f aca="false">IF(F15="","",MIN(I15,G15+H15))</f>
        <v/>
      </c>
      <c r="K15" s="6"/>
      <c r="L15" s="6" t="str">
        <f aca="false">IF(OR(K15="",J15=""),"",K15-J15)</f>
        <v/>
      </c>
      <c r="M15" s="7" t="str">
        <f aca="false">IF(OR(J15=0,J15="",K15=""),"",L15/J15)</f>
        <v/>
      </c>
      <c r="N15" s="5"/>
      <c r="O15" s="5"/>
      <c r="P15" s="5"/>
      <c r="Q15" s="5"/>
    </row>
    <row r="16" customFormat="false" ht="15" hidden="false" customHeight="true" outlineLevel="0" collapsed="false">
      <c r="A16" s="5"/>
      <c r="B16" s="5"/>
      <c r="C16" s="5"/>
      <c r="D16" s="5"/>
      <c r="E16" s="5"/>
      <c r="F16" s="6"/>
      <c r="G16" s="6"/>
      <c r="H16" s="6"/>
      <c r="I16" s="6" t="str">
        <f aca="false">IF(F16="","",F16*2/3)</f>
        <v/>
      </c>
      <c r="J16" s="6" t="str">
        <f aca="false">IF(F16="","",MIN(I16,G16+H16))</f>
        <v/>
      </c>
      <c r="K16" s="6"/>
      <c r="L16" s="6" t="str">
        <f aca="false">IF(OR(K16="",J16=""),"",K16-J16)</f>
        <v/>
      </c>
      <c r="M16" s="7" t="str">
        <f aca="false">IF(OR(J16=0,J16="",K16=""),"",L16/J16)</f>
        <v/>
      </c>
      <c r="N16" s="5"/>
      <c r="O16" s="5"/>
      <c r="P16" s="5"/>
      <c r="Q16" s="5"/>
    </row>
    <row r="17" customFormat="false" ht="15" hidden="false" customHeight="true" outlineLevel="0" collapsed="false">
      <c r="A17" s="5"/>
      <c r="B17" s="5"/>
      <c r="C17" s="5"/>
      <c r="D17" s="5"/>
      <c r="E17" s="5"/>
      <c r="F17" s="6"/>
      <c r="G17" s="6"/>
      <c r="H17" s="6"/>
      <c r="I17" s="6" t="str">
        <f aca="false">IF(F17="","",F17*2/3)</f>
        <v/>
      </c>
      <c r="J17" s="6" t="str">
        <f aca="false">IF(F17="","",MIN(I17,G17+H17))</f>
        <v/>
      </c>
      <c r="K17" s="6"/>
      <c r="L17" s="6" t="str">
        <f aca="false">IF(OR(K17="",J17=""),"",K17-J17)</f>
        <v/>
      </c>
      <c r="M17" s="7" t="str">
        <f aca="false">IF(OR(J17=0,J17="",K17=""),"",L17/J17)</f>
        <v/>
      </c>
      <c r="N17" s="5"/>
      <c r="O17" s="5"/>
      <c r="P17" s="5"/>
      <c r="Q17" s="5"/>
    </row>
    <row r="18" customFormat="false" ht="15" hidden="false" customHeight="true" outlineLevel="0" collapsed="false">
      <c r="A18" s="5"/>
      <c r="B18" s="5"/>
      <c r="C18" s="5"/>
      <c r="D18" s="5"/>
      <c r="E18" s="5"/>
      <c r="F18" s="6"/>
      <c r="G18" s="6"/>
      <c r="H18" s="6"/>
      <c r="I18" s="6" t="str">
        <f aca="false">IF(F18="","",F18*2/3)</f>
        <v/>
      </c>
      <c r="J18" s="6" t="str">
        <f aca="false">IF(F18="","",MIN(I18,G18+H18))</f>
        <v/>
      </c>
      <c r="K18" s="6"/>
      <c r="L18" s="6" t="str">
        <f aca="false">IF(OR(K18="",J18=""),"",K18-J18)</f>
        <v/>
      </c>
      <c r="M18" s="7" t="str">
        <f aca="false">IF(OR(J18=0,J18="",K18=""),"",L18/J18)</f>
        <v/>
      </c>
      <c r="N18" s="5"/>
      <c r="O18" s="5"/>
      <c r="P18" s="5"/>
      <c r="Q18" s="5"/>
    </row>
    <row r="19" customFormat="false" ht="15" hidden="false" customHeight="true" outlineLevel="0" collapsed="false">
      <c r="A19" s="5"/>
      <c r="B19" s="5"/>
      <c r="C19" s="5"/>
      <c r="D19" s="5"/>
      <c r="E19" s="5"/>
      <c r="F19" s="6"/>
      <c r="G19" s="6"/>
      <c r="H19" s="6"/>
      <c r="I19" s="6" t="str">
        <f aca="false">IF(F19="","",F19*2/3)</f>
        <v/>
      </c>
      <c r="J19" s="6" t="str">
        <f aca="false">IF(F19="","",MIN(I19,G19+H19))</f>
        <v/>
      </c>
      <c r="K19" s="6"/>
      <c r="L19" s="6" t="str">
        <f aca="false">IF(OR(K19="",J19=""),"",K19-J19)</f>
        <v/>
      </c>
      <c r="M19" s="7" t="str">
        <f aca="false">IF(OR(J19=0,J19="",K19=""),"",L19/J19)</f>
        <v/>
      </c>
      <c r="N19" s="5"/>
      <c r="O19" s="5"/>
      <c r="P19" s="5"/>
      <c r="Q19" s="5"/>
    </row>
    <row r="20" customFormat="false" ht="15" hidden="false" customHeight="true" outlineLevel="0" collapsed="false">
      <c r="A20" s="5"/>
      <c r="B20" s="5"/>
      <c r="C20" s="5"/>
      <c r="D20" s="5"/>
      <c r="E20" s="5"/>
      <c r="F20" s="6"/>
      <c r="G20" s="6"/>
      <c r="H20" s="6"/>
      <c r="I20" s="6" t="str">
        <f aca="false">IF(F20="","",F20*2/3)</f>
        <v/>
      </c>
      <c r="J20" s="6" t="str">
        <f aca="false">IF(F20="","",MIN(I20,G20+H20))</f>
        <v/>
      </c>
      <c r="K20" s="6"/>
      <c r="L20" s="6" t="str">
        <f aca="false">IF(OR(K20="",J20=""),"",K20-J20)</f>
        <v/>
      </c>
      <c r="M20" s="7" t="str">
        <f aca="false">IF(OR(J20=0,J20="",K20=""),"",L20/J20)</f>
        <v/>
      </c>
      <c r="N20" s="5"/>
      <c r="O20" s="5"/>
      <c r="P20" s="5"/>
      <c r="Q20" s="5"/>
    </row>
    <row r="21" customFormat="false" ht="15" hidden="false" customHeight="true" outlineLevel="0" collapsed="false">
      <c r="A21" s="5"/>
      <c r="B21" s="5"/>
      <c r="C21" s="5"/>
      <c r="D21" s="5"/>
      <c r="E21" s="5"/>
      <c r="F21" s="6"/>
      <c r="G21" s="6"/>
      <c r="H21" s="6"/>
      <c r="I21" s="6" t="str">
        <f aca="false">IF(F21="","",F21*2/3)</f>
        <v/>
      </c>
      <c r="J21" s="6" t="str">
        <f aca="false">IF(F21="","",MIN(I21,G21+H21))</f>
        <v/>
      </c>
      <c r="K21" s="6"/>
      <c r="L21" s="6" t="str">
        <f aca="false">IF(OR(K21="",J21=""),"",K21-J21)</f>
        <v/>
      </c>
      <c r="M21" s="7" t="str">
        <f aca="false">IF(OR(J21=0,J21="",K21=""),"",L21/J21)</f>
        <v/>
      </c>
      <c r="N21" s="5"/>
      <c r="O21" s="5"/>
      <c r="P21" s="5"/>
      <c r="Q21" s="5"/>
    </row>
    <row r="22" customFormat="false" ht="15" hidden="false" customHeight="true" outlineLevel="0" collapsed="false">
      <c r="A22" s="5"/>
      <c r="B22" s="5"/>
      <c r="C22" s="5"/>
      <c r="D22" s="5"/>
      <c r="E22" s="5"/>
      <c r="F22" s="6"/>
      <c r="G22" s="6"/>
      <c r="H22" s="6"/>
      <c r="I22" s="6" t="str">
        <f aca="false">IF(F22="","",F22*2/3)</f>
        <v/>
      </c>
      <c r="J22" s="6" t="str">
        <f aca="false">IF(F22="","",MIN(I22,G22+H22))</f>
        <v/>
      </c>
      <c r="K22" s="6"/>
      <c r="L22" s="6" t="str">
        <f aca="false">IF(OR(K22="",J22=""),"",K22-J22)</f>
        <v/>
      </c>
      <c r="M22" s="7" t="str">
        <f aca="false">IF(OR(J22=0,J22="",K22=""),"",L22/J22)</f>
        <v/>
      </c>
      <c r="N22" s="5"/>
      <c r="O22" s="5"/>
      <c r="P22" s="5"/>
      <c r="Q22" s="5"/>
    </row>
    <row r="23" customFormat="false" ht="15" hidden="false" customHeight="true" outlineLevel="0" collapsed="false">
      <c r="A23" s="5"/>
      <c r="B23" s="5"/>
      <c r="C23" s="5"/>
      <c r="D23" s="5"/>
      <c r="E23" s="5"/>
      <c r="F23" s="6"/>
      <c r="G23" s="6"/>
      <c r="H23" s="6"/>
      <c r="I23" s="6" t="str">
        <f aca="false">IF(F23="","",F23*2/3)</f>
        <v/>
      </c>
      <c r="J23" s="6" t="str">
        <f aca="false">IF(F23="","",MIN(I23,G23+H23))</f>
        <v/>
      </c>
      <c r="K23" s="6"/>
      <c r="L23" s="6" t="str">
        <f aca="false">IF(OR(K23="",J23=""),"",K23-J23)</f>
        <v/>
      </c>
      <c r="M23" s="7" t="str">
        <f aca="false">IF(OR(J23=0,J23="",K23=""),"",L23/J23)</f>
        <v/>
      </c>
      <c r="N23" s="5"/>
      <c r="O23" s="5"/>
      <c r="P23" s="5"/>
      <c r="Q23" s="5"/>
    </row>
    <row r="24" customFormat="false" ht="15" hidden="false" customHeight="true" outlineLevel="0" collapsed="false">
      <c r="A24" s="5"/>
      <c r="B24" s="5"/>
      <c r="C24" s="5"/>
      <c r="D24" s="5"/>
      <c r="E24" s="5"/>
      <c r="F24" s="6"/>
      <c r="G24" s="6"/>
      <c r="H24" s="6"/>
      <c r="I24" s="6" t="str">
        <f aca="false">IF(F24="","",F24*2/3)</f>
        <v/>
      </c>
      <c r="J24" s="6" t="str">
        <f aca="false">IF(F24="","",MIN(I24,G24+H24))</f>
        <v/>
      </c>
      <c r="K24" s="6"/>
      <c r="L24" s="6" t="str">
        <f aca="false">IF(OR(K24="",J24=""),"",K24-J24)</f>
        <v/>
      </c>
      <c r="M24" s="7" t="str">
        <f aca="false">IF(OR(J24=0,J24="",K24=""),"",L24/J24)</f>
        <v/>
      </c>
      <c r="N24" s="5"/>
      <c r="O24" s="5"/>
      <c r="P24" s="5"/>
      <c r="Q24" s="5"/>
    </row>
    <row r="27" customFormat="false" ht="15" hidden="false" customHeight="true" outlineLevel="0" collapsed="false">
      <c r="A27" s="8" t="s">
        <v>27</v>
      </c>
      <c r="B27" s="8"/>
    </row>
    <row r="28" customFormat="false" ht="15" hidden="false" customHeight="true" outlineLevel="0" collapsed="false">
      <c r="A28" s="9" t="s">
        <v>28</v>
      </c>
      <c r="B28" s="10" t="n">
        <f aca="false">COUNTA(A5:A24)</f>
        <v>1</v>
      </c>
    </row>
    <row r="29" customFormat="false" ht="15" hidden="false" customHeight="true" outlineLevel="0" collapsed="false">
      <c r="A29" s="9" t="s">
        <v>29</v>
      </c>
      <c r="B29" s="11" t="n">
        <f aca="false">SUM(J5:J24)</f>
        <v>2450</v>
      </c>
    </row>
    <row r="30" customFormat="false" ht="15" hidden="false" customHeight="true" outlineLevel="0" collapsed="false">
      <c r="A30" s="9" t="s">
        <v>30</v>
      </c>
      <c r="B30" s="11" t="n">
        <f aca="false">SUM(K5:K24)</f>
        <v>22000</v>
      </c>
    </row>
    <row r="31" customFormat="false" ht="15" hidden="false" customHeight="true" outlineLevel="0" collapsed="false">
      <c r="A31" s="9" t="s">
        <v>31</v>
      </c>
      <c r="B31" s="11" t="n">
        <f aca="false">SUM(L5:L24)</f>
        <v>19550</v>
      </c>
    </row>
    <row r="32" customFormat="false" ht="15" hidden="false" customHeight="true" outlineLevel="0" collapsed="false">
      <c r="A32" s="9" t="s">
        <v>32</v>
      </c>
      <c r="B32" s="12" t="n">
        <f aca="false">IF(SUM(J5:J24)=0,0,SUM(L5:L24)/SUM(J5:J24))</f>
        <v>7.97959183673469</v>
      </c>
    </row>
  </sheetData>
  <mergeCells count="3">
    <mergeCell ref="A1:N1"/>
    <mergeCell ref="A2:N2"/>
    <mergeCell ref="A27:B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40"/>
  </cols>
  <sheetData>
    <row r="1" customFormat="false" ht="17.25" hidden="false" customHeight="true" outlineLevel="0" collapsed="false">
      <c r="A1" s="13" t="s">
        <v>33</v>
      </c>
      <c r="B1" s="13"/>
      <c r="C1" s="13"/>
      <c r="D1" s="13"/>
    </row>
    <row r="3" customFormat="false" ht="15" hidden="false" customHeight="true" outlineLevel="0" collapsed="false">
      <c r="A3" s="14" t="s">
        <v>34</v>
      </c>
      <c r="B3" s="14" t="s">
        <v>35</v>
      </c>
      <c r="C3" s="14" t="s">
        <v>36</v>
      </c>
      <c r="D3" s="14" t="s">
        <v>37</v>
      </c>
    </row>
    <row r="4" customFormat="false" ht="15" hidden="false" customHeight="true" outlineLevel="0" collapsed="false">
      <c r="A4" s="15"/>
      <c r="B4" s="16" t="s">
        <v>38</v>
      </c>
      <c r="C4" s="15"/>
      <c r="D4" s="15"/>
    </row>
    <row r="5" customFormat="false" ht="15" hidden="false" customHeight="true" outlineLevel="0" collapsed="false">
      <c r="A5" s="17" t="s">
        <v>39</v>
      </c>
      <c r="B5" s="18" t="s">
        <v>40</v>
      </c>
      <c r="C5" s="19" t="s">
        <v>41</v>
      </c>
      <c r="D5" s="20"/>
    </row>
    <row r="6" customFormat="false" ht="15" hidden="false" customHeight="true" outlineLevel="0" collapsed="false">
      <c r="A6" s="17" t="s">
        <v>39</v>
      </c>
      <c r="B6" s="18" t="s">
        <v>42</v>
      </c>
      <c r="C6" s="19" t="s">
        <v>43</v>
      </c>
      <c r="D6" s="20" t="s">
        <v>44</v>
      </c>
    </row>
    <row r="7" customFormat="false" ht="15" hidden="false" customHeight="true" outlineLevel="0" collapsed="false">
      <c r="A7" s="17" t="s">
        <v>39</v>
      </c>
      <c r="B7" s="18" t="s">
        <v>45</v>
      </c>
      <c r="C7" s="19" t="s">
        <v>46</v>
      </c>
      <c r="D7" s="20"/>
    </row>
    <row r="8" customFormat="false" ht="15" hidden="false" customHeight="true" outlineLevel="0" collapsed="false">
      <c r="A8" s="17" t="s">
        <v>39</v>
      </c>
      <c r="B8" s="18" t="s">
        <v>47</v>
      </c>
      <c r="C8" s="19" t="s">
        <v>48</v>
      </c>
      <c r="D8" s="20"/>
    </row>
    <row r="9" customFormat="false" ht="15" hidden="false" customHeight="true" outlineLevel="0" collapsed="false">
      <c r="A9" s="17" t="s">
        <v>39</v>
      </c>
      <c r="B9" s="18" t="s">
        <v>49</v>
      </c>
      <c r="C9" s="19" t="s">
        <v>50</v>
      </c>
      <c r="D9" s="20"/>
    </row>
    <row r="10" customFormat="false" ht="15" hidden="false" customHeight="true" outlineLevel="0" collapsed="false">
      <c r="A10" s="17" t="s">
        <v>39</v>
      </c>
      <c r="B10" s="18" t="s">
        <v>51</v>
      </c>
      <c r="C10" s="19" t="s">
        <v>52</v>
      </c>
      <c r="D10" s="20"/>
    </row>
    <row r="11" customFormat="false" ht="15" hidden="false" customHeight="true" outlineLevel="0" collapsed="false">
      <c r="A11" s="15"/>
      <c r="B11" s="16" t="s">
        <v>53</v>
      </c>
      <c r="C11" s="15"/>
      <c r="D11" s="15"/>
    </row>
    <row r="12" customFormat="false" ht="15" hidden="false" customHeight="true" outlineLevel="0" collapsed="false">
      <c r="A12" s="17" t="s">
        <v>39</v>
      </c>
      <c r="B12" s="18" t="s">
        <v>54</v>
      </c>
      <c r="C12" s="19" t="s">
        <v>55</v>
      </c>
      <c r="D12" s="20"/>
    </row>
    <row r="13" customFormat="false" ht="15" hidden="false" customHeight="true" outlineLevel="0" collapsed="false">
      <c r="A13" s="17" t="s">
        <v>39</v>
      </c>
      <c r="B13" s="18" t="s">
        <v>56</v>
      </c>
      <c r="C13" s="19" t="s">
        <v>57</v>
      </c>
      <c r="D13" s="20"/>
    </row>
    <row r="14" customFormat="false" ht="15" hidden="false" customHeight="true" outlineLevel="0" collapsed="false">
      <c r="A14" s="17" t="s">
        <v>39</v>
      </c>
      <c r="B14" s="18" t="s">
        <v>58</v>
      </c>
      <c r="C14" s="19" t="s">
        <v>59</v>
      </c>
      <c r="D14" s="20"/>
    </row>
    <row r="15" customFormat="false" ht="15" hidden="false" customHeight="true" outlineLevel="0" collapsed="false">
      <c r="A15" s="17" t="s">
        <v>39</v>
      </c>
      <c r="B15" s="18" t="s">
        <v>60</v>
      </c>
      <c r="C15" s="19" t="s">
        <v>61</v>
      </c>
      <c r="D15" s="20"/>
    </row>
    <row r="16" customFormat="false" ht="15" hidden="false" customHeight="true" outlineLevel="0" collapsed="false">
      <c r="A16" s="17" t="s">
        <v>39</v>
      </c>
      <c r="B16" s="18" t="s">
        <v>62</v>
      </c>
      <c r="C16" s="19" t="s">
        <v>63</v>
      </c>
      <c r="D16" s="20"/>
    </row>
    <row r="17" customFormat="false" ht="15" hidden="false" customHeight="true" outlineLevel="0" collapsed="false">
      <c r="A17" s="17" t="s">
        <v>39</v>
      </c>
      <c r="B17" s="18" t="s">
        <v>64</v>
      </c>
      <c r="C17" s="19" t="s">
        <v>65</v>
      </c>
      <c r="D17" s="20"/>
    </row>
    <row r="18" customFormat="false" ht="15" hidden="false" customHeight="true" outlineLevel="0" collapsed="false">
      <c r="A18" s="15"/>
      <c r="B18" s="16" t="s">
        <v>66</v>
      </c>
      <c r="C18" s="15"/>
      <c r="D18" s="15"/>
    </row>
    <row r="19" customFormat="false" ht="15" hidden="false" customHeight="true" outlineLevel="0" collapsed="false">
      <c r="A19" s="17" t="s">
        <v>39</v>
      </c>
      <c r="B19" s="18" t="s">
        <v>67</v>
      </c>
      <c r="C19" s="19" t="s">
        <v>68</v>
      </c>
      <c r="D19" s="20"/>
    </row>
    <row r="20" customFormat="false" ht="15" hidden="false" customHeight="true" outlineLevel="0" collapsed="false">
      <c r="A20" s="17" t="s">
        <v>39</v>
      </c>
      <c r="B20" s="18" t="s">
        <v>69</v>
      </c>
      <c r="C20" s="19" t="s">
        <v>70</v>
      </c>
      <c r="D20" s="20"/>
    </row>
    <row r="21" customFormat="false" ht="15" hidden="false" customHeight="true" outlineLevel="0" collapsed="false">
      <c r="A21" s="17" t="s">
        <v>39</v>
      </c>
      <c r="B21" s="18" t="s">
        <v>71</v>
      </c>
      <c r="C21" s="19" t="s">
        <v>72</v>
      </c>
      <c r="D21" s="20"/>
    </row>
    <row r="22" customFormat="false" ht="15" hidden="false" customHeight="true" outlineLevel="0" collapsed="false">
      <c r="A22" s="17" t="s">
        <v>39</v>
      </c>
      <c r="B22" s="18" t="s">
        <v>73</v>
      </c>
      <c r="C22" s="19" t="s">
        <v>74</v>
      </c>
      <c r="D22" s="20"/>
    </row>
    <row r="23" customFormat="false" ht="15" hidden="false" customHeight="true" outlineLevel="0" collapsed="false">
      <c r="A23" s="17" t="s">
        <v>39</v>
      </c>
      <c r="B23" s="18" t="s">
        <v>75</v>
      </c>
      <c r="C23" s="19" t="s">
        <v>55</v>
      </c>
      <c r="D23" s="20"/>
    </row>
    <row r="24" customFormat="false" ht="15" hidden="false" customHeight="true" outlineLevel="0" collapsed="false">
      <c r="A24" s="17" t="s">
        <v>39</v>
      </c>
      <c r="B24" s="18" t="s">
        <v>76</v>
      </c>
      <c r="C24" s="19" t="s">
        <v>77</v>
      </c>
      <c r="D24" s="20"/>
    </row>
    <row r="25" customFormat="false" ht="15" hidden="false" customHeight="true" outlineLevel="0" collapsed="false">
      <c r="A25" s="15"/>
      <c r="B25" s="16" t="s">
        <v>78</v>
      </c>
      <c r="C25" s="15"/>
      <c r="D25" s="15"/>
    </row>
    <row r="26" customFormat="false" ht="15" hidden="false" customHeight="true" outlineLevel="0" collapsed="false">
      <c r="A26" s="17" t="s">
        <v>39</v>
      </c>
      <c r="B26" s="18" t="s">
        <v>79</v>
      </c>
      <c r="C26" s="19" t="s">
        <v>80</v>
      </c>
      <c r="D26" s="20" t="s">
        <v>81</v>
      </c>
    </row>
    <row r="27" customFormat="false" ht="15" hidden="false" customHeight="true" outlineLevel="0" collapsed="false">
      <c r="A27" s="17" t="s">
        <v>39</v>
      </c>
      <c r="B27" s="18" t="s">
        <v>82</v>
      </c>
      <c r="C27" s="19" t="s">
        <v>83</v>
      </c>
      <c r="D27" s="20"/>
    </row>
    <row r="28" customFormat="false" ht="15" hidden="false" customHeight="true" outlineLevel="0" collapsed="false">
      <c r="A28" s="17" t="s">
        <v>39</v>
      </c>
      <c r="B28" s="18" t="s">
        <v>84</v>
      </c>
      <c r="C28" s="19" t="s">
        <v>52</v>
      </c>
      <c r="D28" s="20" t="s">
        <v>85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4" min="3" style="1" width="35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13" t="s">
        <v>86</v>
      </c>
      <c r="B1" s="13"/>
      <c r="C1" s="13"/>
      <c r="D1" s="13"/>
      <c r="E1" s="13"/>
    </row>
    <row r="3" customFormat="false" ht="15" hidden="false" customHeight="true" outlineLevel="0" collapsed="false">
      <c r="A3" s="14" t="s">
        <v>4</v>
      </c>
      <c r="B3" s="14" t="s">
        <v>87</v>
      </c>
      <c r="C3" s="14" t="s">
        <v>3</v>
      </c>
      <c r="D3" s="14" t="s">
        <v>88</v>
      </c>
      <c r="E3" s="14" t="s">
        <v>89</v>
      </c>
    </row>
    <row r="4" customFormat="false" ht="15" hidden="false" customHeight="true" outlineLevel="0" collapsed="false">
      <c r="A4" s="18" t="s">
        <v>21</v>
      </c>
      <c r="B4" s="18" t="s">
        <v>90</v>
      </c>
      <c r="C4" s="18" t="s">
        <v>91</v>
      </c>
      <c r="D4" s="18" t="s">
        <v>92</v>
      </c>
      <c r="E4" s="18" t="s">
        <v>93</v>
      </c>
    </row>
    <row r="5" customFormat="false" ht="15" hidden="false" customHeight="true" outlineLevel="0" collapsed="false">
      <c r="A5" s="18" t="s">
        <v>94</v>
      </c>
      <c r="B5" s="18" t="s">
        <v>95</v>
      </c>
      <c r="C5" s="18" t="s">
        <v>96</v>
      </c>
      <c r="D5" s="18" t="s">
        <v>97</v>
      </c>
      <c r="E5" s="18" t="s">
        <v>93</v>
      </c>
    </row>
    <row r="6" customFormat="false" ht="15" hidden="false" customHeight="true" outlineLevel="0" collapsed="false">
      <c r="A6" s="18" t="s">
        <v>98</v>
      </c>
      <c r="B6" s="18" t="s">
        <v>99</v>
      </c>
      <c r="C6" s="18" t="s">
        <v>100</v>
      </c>
      <c r="D6" s="18"/>
      <c r="E6" s="18" t="s">
        <v>93</v>
      </c>
    </row>
    <row r="7" customFormat="false" ht="15" hidden="false" customHeight="true" outlineLevel="0" collapsed="false">
      <c r="A7" s="18" t="s">
        <v>101</v>
      </c>
      <c r="B7" s="18" t="s">
        <v>102</v>
      </c>
      <c r="C7" s="18" t="s">
        <v>103</v>
      </c>
      <c r="D7" s="18"/>
      <c r="E7" s="18" t="s">
        <v>93</v>
      </c>
    </row>
    <row r="8" customFormat="false" ht="15" hidden="false" customHeight="true" outlineLevel="0" collapsed="false">
      <c r="A8" s="18" t="s">
        <v>104</v>
      </c>
      <c r="B8" s="18" t="s">
        <v>105</v>
      </c>
      <c r="C8" s="18" t="s">
        <v>106</v>
      </c>
      <c r="D8" s="18"/>
      <c r="E8" s="18" t="s">
        <v>93</v>
      </c>
    </row>
    <row r="9" customFormat="false" ht="15" hidden="false" customHeight="true" outlineLevel="0" collapsed="false">
      <c r="A9" s="18" t="s">
        <v>107</v>
      </c>
      <c r="B9" s="18" t="s">
        <v>108</v>
      </c>
      <c r="C9" s="18" t="s">
        <v>109</v>
      </c>
      <c r="D9" s="18"/>
      <c r="E9" s="18" t="s">
        <v>93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2026-02-11T06:55:34Z</dcterms:created>
  <dc:creator>openpyxl</dc:creator>
  <dc:description/>
  <dc:language>en-US</dc:language>
  <cp:lastModifiedBy/>
  <dcterms:modified xsi:type="dcterms:W3CDTF">2026-02-11T06:55:51Z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